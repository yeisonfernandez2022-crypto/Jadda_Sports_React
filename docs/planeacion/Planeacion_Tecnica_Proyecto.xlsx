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na\Desktop\"/>
    </mc:Choice>
  </mc:AlternateContent>
  <xr:revisionPtr revIDLastSave="0" documentId="13_ncr:1_{798995E9-0262-4731-8807-88EC0FF5EB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de Chequeo Técnico" sheetId="1" r:id="rId1"/>
    <sheet name="Resumen y Métric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9" i="2" l="1"/>
  <c r="C6" i="2" s="1"/>
  <c r="C5" i="2" l="1"/>
  <c r="C8" i="2"/>
  <c r="C7" i="2"/>
  <c r="C9" i="2" l="1"/>
</calcChain>
</file>

<file path=xl/sharedStrings.xml><?xml version="1.0" encoding="utf-8"?>
<sst xmlns="http://schemas.openxmlformats.org/spreadsheetml/2006/main" count="112" uniqueCount="72">
  <si>
    <t>LISTA DE CHEQUEO: PLANEACIÓN TÉCNICA DE PROYECTO</t>
  </si>
  <si>
    <t>Logo</t>
  </si>
  <si>
    <t>Evaluación de preparación y viabilidad tecnológica para desarrollo de software</t>
  </si>
  <si>
    <t>Nombre Proyecto:</t>
  </si>
  <si>
    <t>Jadda Sports</t>
  </si>
  <si>
    <t>Integrantres:</t>
  </si>
  <si>
    <t>Yeison Fernandez - Duglas Montenegro - Miguel Castro</t>
  </si>
  <si>
    <t>Categoría</t>
  </si>
  <si>
    <t>Ítem de Verificación / Criterio</t>
  </si>
  <si>
    <t>Estado</t>
  </si>
  <si>
    <t>Responsable(s)</t>
  </si>
  <si>
    <t>Evidencia 
(captura de pantalla o enlace)</t>
  </si>
  <si>
    <t>Observaciones</t>
  </si>
  <si>
    <t>1. Arquitectura y Diseño</t>
  </si>
  <si>
    <t>Arquitectura y Diseño</t>
  </si>
  <si>
    <t>Se documentó el diagrama de arquitectura y la interacción entre componentes principales.</t>
  </si>
  <si>
    <t>Se identificaron y priorizaron los atributos de calidad (mantenibilidad, rendimiento, seguridad).</t>
  </si>
  <si>
    <t>Se establecieron las guías para aplicar patrones de diseño y principios de código limpio (SOLID, DRY, KISS).</t>
  </si>
  <si>
    <t>2. Stack Tecnológico y Datos</t>
  </si>
  <si>
    <t>Stack Tecnológico y Datos</t>
  </si>
  <si>
    <t>Se fijaron las versiones estables de lenguajes, frameworks y herramientas base.</t>
  </si>
  <si>
    <t>Se diseñó el modelo de datos preliminar (esquemas, relaciones o colecciones).</t>
  </si>
  <si>
    <t>Se analizaron las dependencias externas, servicios de terceros y restricciones de licencias.</t>
  </si>
  <si>
    <t>3. Calidad y Pruebas</t>
  </si>
  <si>
    <t>Calidad y Pruebas</t>
  </si>
  <si>
    <t>Se definió el marco de pruebas unitarias y de integración (ej. unittest, PyTest, JUnit).</t>
  </si>
  <si>
    <t>Se configuraron las herramientas de análisis estático de código y linters.</t>
  </si>
  <si>
    <t>Se acordó la estrategia de pruebas (cobertura mínima esperada, automatización).</t>
  </si>
  <si>
    <t>4. Entornos y DevOps</t>
  </si>
  <si>
    <t>Entornos y DevOps</t>
  </si>
  <si>
    <t>Se estableció la estrategia de control de versiones y ramificación en Git (Git Flow, Trunk-Based).</t>
  </si>
  <si>
    <t>Se definieron los requerimientos para los entornos de desarrollo, pruebas y producción.</t>
  </si>
  <si>
    <t>Se planificó el pipeline básico de Integración Continua (CI).</t>
  </si>
  <si>
    <t>5. Seguridad y Gestión de Riesgos</t>
  </si>
  <si>
    <t>Seguridad y Gestión de Riesgos</t>
  </si>
  <si>
    <t>Se definieron los mecanismos de autenticación, autorización y manejo de secretos.</t>
  </si>
  <si>
    <t>Se identificaron los principales cuellos de botella tecnológicos y riesgos de integración.</t>
  </si>
  <si>
    <t>Se redactó el plan de contingencia para fallas críticas en los componentes centrales.</t>
  </si>
  <si>
    <t>RESUMEN DE AVANCE DE PLANEACIÓN TÉCNICA</t>
  </si>
  <si>
    <t>Métricas de cumplimiento de los ítems de verificación</t>
  </si>
  <si>
    <t>Cantidad de Ítems</t>
  </si>
  <si>
    <t>Porcentaje</t>
  </si>
  <si>
    <t>Completado</t>
  </si>
  <si>
    <t>En Proceso</t>
  </si>
  <si>
    <t>Pendiente</t>
  </si>
  <si>
    <t>No Aplica</t>
  </si>
  <si>
    <t>Total Ítems</t>
  </si>
  <si>
    <t>Equipo de desarrollo JADDA</t>
  </si>
  <si>
    <t>Arquitectura web, API, móvil, MySQL y contenedores documentada.</t>
  </si>
  <si>
    <t>Atributos priorizados y evaluados con evidencia y verificaciones; se registran brechas de capacidad y recursos.</t>
  </si>
  <si>
    <t>Stack y versiones fijados para web, backend, móvil, base de datos y contenedores.</t>
  </si>
  <si>
    <t>Modelo relacional documentado; esquema versionado y auto-configurado al iniciar.</t>
  </si>
  <si>
    <t>backend/package.json; frontend/package.json; movil/package.json; docs/Restricciones del Proyecto.md</t>
  </si>
  <si>
    <t>Dependencias y servicios externos están identificados; no se encontró una matriz de revisión de licencias.</t>
  </si>
  <si>
    <t>ESLint y compilación TypeScript/Vite forman parte de las herramientas de verificación.</t>
  </si>
  <si>
    <t>La suite smoke y TP-001..035 están definidos; falta establecer y medir una meta de cobertura automatizada.</t>
  </si>
  <si>
    <t>Desarrollo y entrega local en preview están documentados; producción formal está fuera del despliegue soportado.</t>
  </si>
  <si>
    <t>Autenticación por sesión, autorización por roles, controles de acceso y plantilla de secretos documentados.</t>
  </si>
  <si>
    <t>Riesgos de recursos y concurrencia están identificados y asociados a acciones MC-11 y MC-12.</t>
  </si>
  <si>
    <t>Hay procedimiento de respaldo y recuperación; la restauración en base temporal está verificada.</t>
  </si>
  <si>
    <t>https://docs.google.com/spreadsheets/d/1deg75mEorowFi2XxofEcH6jYq5KxiYxV/edit?gid=1638864504#gid=1638864504</t>
  </si>
  <si>
    <t>Pruebas unitarias en un docs</t>
  </si>
  <si>
    <t>https://github.com/yeisonfernandez2022-crypto/Jadda_Sports_React/blob/main/tests/smoke.mjs</t>
  </si>
  <si>
    <t>El proyecto trabaja actualmente con una sola rama; no se ha definido una estrategia de ramificación en Git</t>
  </si>
  <si>
    <t>https://github.com/yeisonfernandez2022-crypto/Jadda_Sports_React/blob/main/docs/implantacion/03-guia-despliegue.md</t>
  </si>
  <si>
    <t>No se ha configurado un pipeline de Integración Continua. Las verificaciones de lint y compilación se ejecutan manualmente</t>
  </si>
  <si>
    <t>https://github.com/yeisonfernandez2022-crypto/Jadda_Sports_React/blob/main/docs/implantacion/02-plan-migracion-respaldos.md</t>
  </si>
  <si>
    <t>https://github.com/yeisonfernandez2022-crypto/Jadda_Sports_React/blob/main/docs/diagrams/arquitectura.md</t>
  </si>
  <si>
    <t>https://github.com/yeisonfernandez2022-crypto/Jadda_Sports_React/blob/main/docs/plan%20de%20trabajo.md</t>
  </si>
  <si>
    <t>https://github.com/yeisonfernandez2022-crypto/Jadda_Sports_React/tree/main/docs/Modelo%20relacional</t>
  </si>
  <si>
    <t>https://github.com/yeisonfernandez2022-crypto/Jadda_Sports_React/tree/main/docs/RNFs</t>
  </si>
  <si>
    <t>https://github.com/yeisonfernandez2022-crypto/Jadda_Sports_React/blob/main/docs/calidad/plan-mejora-continua.md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</si>
</sst>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2C3E50"/>
      <name val="Calibri"/>
      <family val="2"/>
    </font>
    <font>
      <i/>
      <sz val="11"/>
      <color rgb="FF7F8C8D"/>
      <name val="Calibri"/>
      <family val="2"/>
    </font>
    <font>
      <b/>
      <sz val="11"/>
      <color rgb="FFFFFFFF"/>
      <name val="Calibri"/>
      <family val="2"/>
    </font>
    <font>
      <b/>
      <sz val="11"/>
      <color rgb="FF2C3E5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EAECEE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/>
    <xf numFmtId="0" fontId="7" fillId="0" borderId="1" xfId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 sz="900">
                <a:latin typeface="Arial"/>
                <a:ea typeface="Arial"/>
                <a:cs typeface="Arial"/>
              </a:rPr>
              <a:t>Porcentaje de criterios por estado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Porcentaje</c:v>
          </c:tx>
          <c:invertIfNegative val="0"/>
          <c:cat>
            <c:strRef>
              <c:f>'Resumen y Métricas'!$A$5:$A$8</c:f>
              <c:strCache>
                <c:ptCount val="4"/>
                <c:pt idx="0">
                  <c:v>Completado</c:v>
                </c:pt>
                <c:pt idx="1">
                  <c:v>En Proceso</c:v>
                </c:pt>
                <c:pt idx="2">
                  <c:v>Pendiente</c:v>
                </c:pt>
                <c:pt idx="3">
                  <c:v>No Aplica</c:v>
                </c:pt>
              </c:strCache>
            </c:strRef>
          </c:cat>
          <c:val>
            <c:numRef>
              <c:f>'Resumen y Métricas'!$C$5:$C$8</c:f>
              <c:numCache>
                <c:formatCode>0.0%</c:formatCode>
                <c:ptCount val="4"/>
                <c:pt idx="0">
                  <c:v>0.66666666666666663</c:v>
                </c:pt>
                <c:pt idx="1">
                  <c:v>0.13333333333333333</c:v>
                </c:pt>
                <c:pt idx="2">
                  <c:v>0.2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5-4340-A60C-AB0A42D33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CO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CO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16</xdr:row>
      <xdr:rowOff>0</xdr:rowOff>
    </xdr:from>
    <xdr:to>
      <xdr:col>4</xdr:col>
      <xdr:colOff>4371975</xdr:colOff>
      <xdr:row>16</xdr:row>
      <xdr:rowOff>3147584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D8C8260-4B73-AE21-791B-D4CB3BBEC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0" y="6086475"/>
          <a:ext cx="4371975" cy="3147584"/>
        </a:xfrm>
        <a:prstGeom prst="rect">
          <a:avLst/>
        </a:prstGeom>
      </xdr:spPr>
    </xdr:pic>
    <xdr:clientData/>
  </xdr:twoCellAnchor>
  <xdr:twoCellAnchor editAs="oneCell">
    <xdr:from>
      <xdr:col>3</xdr:col>
      <xdr:colOff>1276349</xdr:colOff>
      <xdr:row>23</xdr:row>
      <xdr:rowOff>47626</xdr:rowOff>
    </xdr:from>
    <xdr:to>
      <xdr:col>5</xdr:col>
      <xdr:colOff>3094</xdr:colOff>
      <xdr:row>23</xdr:row>
      <xdr:rowOff>1123950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ED2C517-B896-02C1-1951-032201C3A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7099" y="12744451"/>
          <a:ext cx="4460795" cy="10763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yeisonfernandez2022-crypto/Jadda_Sports_React/tree/main/docs/Modelo%20relacional" TargetMode="External"/><Relationship Id="rId3" Type="http://schemas.openxmlformats.org/officeDocument/2006/relationships/hyperlink" Target="https://github.com/yeisonfernandez2022-crypto/Jadda_Sports_React/blob/main/tests/smoke.mjs" TargetMode="External"/><Relationship Id="rId7" Type="http://schemas.openxmlformats.org/officeDocument/2006/relationships/hyperlink" Target="https://github.com/yeisonfernandez2022-crypto/Jadda_Sports_React/blob/main/docs/plan%20de%20trabajo.md" TargetMode="External"/><Relationship Id="rId2" Type="http://schemas.openxmlformats.org/officeDocument/2006/relationships/hyperlink" Target="https://docs.google.com/spreadsheets/d/1deg75mEorowFi2XxofEcH6jYq5KxiYxV/edit?gid=1638864504" TargetMode="External"/><Relationship Id="rId1" Type="http://schemas.openxmlformats.org/officeDocument/2006/relationships/hyperlink" Target="https://github.com/yeisonfernandez2022-crypto/Jadda_Sports_React/tree/main/docs/RNFs" TargetMode="External"/><Relationship Id="rId6" Type="http://schemas.openxmlformats.org/officeDocument/2006/relationships/hyperlink" Target="https://github.com/yeisonfernandez2022-crypto/Jadda_Sports_React/blob/main/docs/diagrams/arquitectura.md" TargetMode="External"/><Relationship Id="rId5" Type="http://schemas.openxmlformats.org/officeDocument/2006/relationships/hyperlink" Target="https://github.com/yeisonfernandez2022-crypto/Jadda_Sports_React/blob/main/docs/implantacion/02-plan-migracion-respaldos.md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github.com/yeisonfernandez2022-crypto/Jadda_Sports_React/blob/main/docs/implantacion/03-guia-despliegue.md" TargetMode="External"/><Relationship Id="rId9" Type="http://schemas.openxmlformats.org/officeDocument/2006/relationships/hyperlink" Target="https://github.com/yeisonfernandez2022-crypto/Jadda_Sports_React/blob/main/docs/calidad/plan-mejora-continua.m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A9" workbookViewId="0">
      <selection activeCell="E31" sqref="E31"/>
    </sheetView>
  </sheetViews>
  <sheetFormatPr baseColWidth="10" defaultColWidth="9.140625" defaultRowHeight="15" x14ac:dyDescent="0.25"/>
  <cols>
    <col min="1" max="1" width="24" customWidth="1"/>
    <col min="2" max="2" width="50" customWidth="1"/>
    <col min="3" max="3" width="16" customWidth="1"/>
    <col min="4" max="4" width="20" customWidth="1"/>
    <col min="5" max="5" width="66" customWidth="1"/>
    <col min="6" max="6" width="23.85546875" customWidth="1"/>
  </cols>
  <sheetData>
    <row r="1" spans="1:6" ht="21" x14ac:dyDescent="0.35">
      <c r="A1" s="1" t="s">
        <v>0</v>
      </c>
      <c r="E1" s="14"/>
      <c r="F1" s="15" t="s">
        <v>1</v>
      </c>
    </row>
    <row r="2" spans="1:6" x14ac:dyDescent="0.25">
      <c r="A2" s="2" t="s">
        <v>2</v>
      </c>
      <c r="E2" s="14"/>
      <c r="F2" s="15"/>
    </row>
    <row r="3" spans="1:6" x14ac:dyDescent="0.25">
      <c r="A3" s="2" t="s">
        <v>3</v>
      </c>
      <c r="B3" t="s">
        <v>4</v>
      </c>
      <c r="E3" s="14"/>
      <c r="F3" s="15"/>
    </row>
    <row r="4" spans="1:6" x14ac:dyDescent="0.25">
      <c r="A4" s="2" t="s">
        <v>5</v>
      </c>
      <c r="B4" t="s">
        <v>6</v>
      </c>
      <c r="E4" s="14"/>
      <c r="F4" s="15"/>
    </row>
    <row r="5" spans="1:6" x14ac:dyDescent="0.25">
      <c r="E5" s="14"/>
      <c r="F5" s="15"/>
    </row>
    <row r="6" spans="1:6" ht="30" x14ac:dyDescent="0.2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</row>
    <row r="7" spans="1:6" x14ac:dyDescent="0.25">
      <c r="A7" s="16" t="s">
        <v>13</v>
      </c>
      <c r="B7" s="17"/>
      <c r="C7" s="17"/>
      <c r="D7" s="17"/>
      <c r="E7" s="17"/>
      <c r="F7" s="4"/>
    </row>
    <row r="8" spans="1:6" ht="38.25" x14ac:dyDescent="0.25">
      <c r="A8" s="5" t="s">
        <v>14</v>
      </c>
      <c r="B8" s="6" t="s">
        <v>15</v>
      </c>
      <c r="C8" s="7" t="s">
        <v>42</v>
      </c>
      <c r="D8" s="6" t="s">
        <v>47</v>
      </c>
      <c r="E8" s="18" t="s">
        <v>67</v>
      </c>
      <c r="F8" s="6" t="s">
        <v>48</v>
      </c>
    </row>
    <row r="9" spans="1:6" ht="63.75" x14ac:dyDescent="0.25">
      <c r="A9" s="5" t="s">
        <v>14</v>
      </c>
      <c r="B9" s="6" t="s">
        <v>16</v>
      </c>
      <c r="C9" s="7" t="s">
        <v>42</v>
      </c>
      <c r="D9" s="6" t="s">
        <v>47</v>
      </c>
      <c r="E9" s="18" t="s">
        <v>70</v>
      </c>
      <c r="F9" s="6" t="s">
        <v>49</v>
      </c>
    </row>
    <row r="10" spans="1:6" ht="25.5" x14ac:dyDescent="0.25">
      <c r="A10" s="5" t="s">
        <v>14</v>
      </c>
      <c r="B10" s="6" t="s">
        <v>17</v>
      </c>
      <c r="C10" s="7" t="s">
        <v>44</v>
      </c>
      <c r="D10" s="6" t="s">
        <v>47</v>
      </c>
      <c r="E10" s="6"/>
      <c r="F10" s="6"/>
    </row>
    <row r="11" spans="1:6" x14ac:dyDescent="0.25">
      <c r="A11" s="16" t="s">
        <v>18</v>
      </c>
      <c r="B11" s="17"/>
      <c r="C11" s="17"/>
      <c r="D11" s="17"/>
      <c r="E11" s="17"/>
      <c r="F11" s="4"/>
    </row>
    <row r="12" spans="1:6" ht="51" x14ac:dyDescent="0.25">
      <c r="A12" s="5" t="s">
        <v>19</v>
      </c>
      <c r="B12" s="6" t="s">
        <v>20</v>
      </c>
      <c r="C12" s="7" t="s">
        <v>42</v>
      </c>
      <c r="D12" s="6" t="s">
        <v>47</v>
      </c>
      <c r="E12" s="18" t="s">
        <v>68</v>
      </c>
      <c r="F12" s="6" t="s">
        <v>50</v>
      </c>
    </row>
    <row r="13" spans="1:6" ht="51" x14ac:dyDescent="0.25">
      <c r="A13" s="5" t="s">
        <v>19</v>
      </c>
      <c r="B13" s="6" t="s">
        <v>21</v>
      </c>
      <c r="C13" s="7" t="s">
        <v>42</v>
      </c>
      <c r="D13" s="6" t="s">
        <v>47</v>
      </c>
      <c r="E13" s="18" t="s">
        <v>69</v>
      </c>
      <c r="F13" s="6" t="s">
        <v>51</v>
      </c>
    </row>
    <row r="14" spans="1:6" ht="63.75" x14ac:dyDescent="0.25">
      <c r="A14" s="5" t="s">
        <v>19</v>
      </c>
      <c r="B14" s="6" t="s">
        <v>22</v>
      </c>
      <c r="C14" s="7" t="s">
        <v>43</v>
      </c>
      <c r="D14" s="6" t="s">
        <v>47</v>
      </c>
      <c r="E14" s="6" t="s">
        <v>52</v>
      </c>
      <c r="F14" s="6" t="s">
        <v>53</v>
      </c>
    </row>
    <row r="15" spans="1:6" x14ac:dyDescent="0.25">
      <c r="A15" s="16" t="s">
        <v>23</v>
      </c>
      <c r="B15" s="17"/>
      <c r="C15" s="17"/>
      <c r="D15" s="17"/>
      <c r="E15" s="17"/>
      <c r="F15" s="4"/>
    </row>
    <row r="16" spans="1:6" ht="30" x14ac:dyDescent="0.25">
      <c r="A16" s="5" t="s">
        <v>24</v>
      </c>
      <c r="B16" s="6" t="s">
        <v>25</v>
      </c>
      <c r="C16" s="7" t="s">
        <v>42</v>
      </c>
      <c r="D16" s="6" t="s">
        <v>47</v>
      </c>
      <c r="E16" s="18" t="s">
        <v>60</v>
      </c>
      <c r="F16" s="6" t="s">
        <v>61</v>
      </c>
    </row>
    <row r="17" spans="1:6" ht="248.25" customHeight="1" x14ac:dyDescent="0.25">
      <c r="A17" s="5" t="s">
        <v>24</v>
      </c>
      <c r="B17" s="6" t="s">
        <v>26</v>
      </c>
      <c r="C17" s="7" t="s">
        <v>42</v>
      </c>
      <c r="D17" s="6" t="s">
        <v>47</v>
      </c>
      <c r="E17" s="6"/>
      <c r="F17" s="6" t="s">
        <v>54</v>
      </c>
    </row>
    <row r="18" spans="1:6" ht="51" x14ac:dyDescent="0.25">
      <c r="A18" s="5" t="s">
        <v>24</v>
      </c>
      <c r="B18" s="6" t="s">
        <v>27</v>
      </c>
      <c r="C18" s="7" t="s">
        <v>43</v>
      </c>
      <c r="D18" s="6" t="s">
        <v>47</v>
      </c>
      <c r="E18" s="18" t="s">
        <v>62</v>
      </c>
      <c r="F18" s="6" t="s">
        <v>55</v>
      </c>
    </row>
    <row r="19" spans="1:6" x14ac:dyDescent="0.25">
      <c r="A19" s="16" t="s">
        <v>28</v>
      </c>
      <c r="B19" s="17"/>
      <c r="C19" s="17"/>
      <c r="D19" s="17"/>
      <c r="E19" s="17"/>
      <c r="F19" s="4"/>
    </row>
    <row r="20" spans="1:6" ht="63.75" x14ac:dyDescent="0.25">
      <c r="A20" s="5" t="s">
        <v>29</v>
      </c>
      <c r="B20" s="6" t="s">
        <v>30</v>
      </c>
      <c r="C20" s="7" t="s">
        <v>44</v>
      </c>
      <c r="D20" s="6" t="s">
        <v>47</v>
      </c>
      <c r="E20" s="6"/>
      <c r="F20" s="6" t="s">
        <v>63</v>
      </c>
    </row>
    <row r="21" spans="1:6" ht="63.75" x14ac:dyDescent="0.25">
      <c r="A21" s="5" t="s">
        <v>29</v>
      </c>
      <c r="B21" s="6" t="s">
        <v>31</v>
      </c>
      <c r="C21" s="7" t="s">
        <v>42</v>
      </c>
      <c r="D21" s="6" t="s">
        <v>47</v>
      </c>
      <c r="E21" s="18" t="s">
        <v>64</v>
      </c>
      <c r="F21" s="6" t="s">
        <v>56</v>
      </c>
    </row>
    <row r="22" spans="1:6" ht="63.75" x14ac:dyDescent="0.25">
      <c r="A22" s="5" t="s">
        <v>29</v>
      </c>
      <c r="B22" s="6" t="s">
        <v>32</v>
      </c>
      <c r="C22" s="7" t="s">
        <v>44</v>
      </c>
      <c r="D22" s="6" t="s">
        <v>47</v>
      </c>
      <c r="E22" s="6"/>
      <c r="F22" s="6" t="s">
        <v>65</v>
      </c>
    </row>
    <row r="23" spans="1:6" x14ac:dyDescent="0.25">
      <c r="A23" s="16" t="s">
        <v>33</v>
      </c>
      <c r="B23" s="17"/>
      <c r="C23" s="17"/>
      <c r="D23" s="17"/>
      <c r="E23" s="17"/>
      <c r="F23" s="4"/>
    </row>
    <row r="24" spans="1:6" ht="159.75" customHeight="1" x14ac:dyDescent="0.25">
      <c r="A24" s="5" t="s">
        <v>34</v>
      </c>
      <c r="B24" s="6" t="s">
        <v>35</v>
      </c>
      <c r="C24" s="7" t="s">
        <v>42</v>
      </c>
      <c r="D24" s="6" t="s">
        <v>47</v>
      </c>
      <c r="E24" s="6"/>
      <c r="F24" s="6" t="s">
        <v>57</v>
      </c>
    </row>
    <row r="25" spans="1:6" ht="51" x14ac:dyDescent="0.25">
      <c r="A25" s="5" t="s">
        <v>34</v>
      </c>
      <c r="B25" s="6" t="s">
        <v>36</v>
      </c>
      <c r="C25" s="7" t="s">
        <v>42</v>
      </c>
      <c r="D25" s="6" t="s">
        <v>47</v>
      </c>
      <c r="E25" s="18" t="s">
        <v>71</v>
      </c>
      <c r="F25" s="6" t="s">
        <v>58</v>
      </c>
    </row>
    <row r="26" spans="1:6" ht="51" x14ac:dyDescent="0.25">
      <c r="A26" s="5" t="s">
        <v>34</v>
      </c>
      <c r="B26" s="6" t="s">
        <v>37</v>
      </c>
      <c r="C26" s="7" t="s">
        <v>42</v>
      </c>
      <c r="D26" s="6" t="s">
        <v>47</v>
      </c>
      <c r="E26" s="18" t="s">
        <v>66</v>
      </c>
      <c r="F26" s="6" t="s">
        <v>59</v>
      </c>
    </row>
  </sheetData>
  <mergeCells count="6">
    <mergeCell ref="F1:F5"/>
    <mergeCell ref="A23:E23"/>
    <mergeCell ref="A7:E7"/>
    <mergeCell ref="A15:E15"/>
    <mergeCell ref="A19:E19"/>
    <mergeCell ref="A11:E11"/>
  </mergeCells>
  <dataValidations count="1">
    <dataValidation type="list" allowBlank="1" sqref="C8 C9 C10 C12 C13 C14 C16 C17 C18 C20 C21 C22 C24 C25 C26" xr:uid="{00000000-0002-0000-0000-000000000000}">
      <formula1>"Pendiente, En Proceso, Completado, No Aplica"</formula1>
    </dataValidation>
  </dataValidations>
  <hyperlinks>
    <hyperlink ref="E9" r:id="rId1" xr:uid="{9E4C4A00-DC41-4D02-BC3E-BC8062319A8F}"/>
    <hyperlink ref="E16" r:id="rId2" location="gid=1638864504" xr:uid="{2856ED63-056B-43C7-AD8F-E3EB13C0E954}"/>
    <hyperlink ref="E18" r:id="rId3" xr:uid="{4EFE42F7-E321-4FAA-A37B-472BB8E9BCC0}"/>
    <hyperlink ref="E21" r:id="rId4" xr:uid="{AB9EE9CE-1396-4B75-A486-7A194DABCBA1}"/>
    <hyperlink ref="E26" r:id="rId5" xr:uid="{9687E60B-173F-49DE-9FDD-A8CD3EE65828}"/>
    <hyperlink ref="E8" r:id="rId6" xr:uid="{8346F865-01F2-494E-9717-4D23F70310BB}"/>
    <hyperlink ref="E12" r:id="rId7" xr:uid="{08B2999C-8C5D-4CE0-80F3-1495490386E7}"/>
    <hyperlink ref="E13" r:id="rId8" xr:uid="{C9DFD083-D41E-49DC-BC00-E5CCB5C314D3}"/>
    <hyperlink ref="E25" r:id="rId9" xr:uid="{8894F538-2954-4FEB-855F-99A382951B5C}"/>
  </hyperlinks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11" sqref="C11"/>
    </sheetView>
  </sheetViews>
  <sheetFormatPr baseColWidth="10" defaultColWidth="9.140625" defaultRowHeight="15" x14ac:dyDescent="0.25"/>
  <cols>
    <col min="1" max="1" width="22" customWidth="1"/>
    <col min="2" max="2" width="20" customWidth="1"/>
    <col min="3" max="3" width="18" customWidth="1"/>
  </cols>
  <sheetData>
    <row r="1" spans="1:3" ht="21" x14ac:dyDescent="0.35">
      <c r="A1" s="1" t="s">
        <v>38</v>
      </c>
    </row>
    <row r="2" spans="1:3" x14ac:dyDescent="0.25">
      <c r="A2" s="2" t="s">
        <v>39</v>
      </c>
    </row>
    <row r="4" spans="1:3" x14ac:dyDescent="0.25">
      <c r="A4" s="8" t="s">
        <v>9</v>
      </c>
      <c r="B4" s="8" t="s">
        <v>40</v>
      </c>
      <c r="C4" s="8" t="s">
        <v>41</v>
      </c>
    </row>
    <row r="5" spans="1:3" x14ac:dyDescent="0.25">
      <c r="A5" s="9" t="s">
        <v>42</v>
      </c>
      <c r="B5" s="7">
        <f>COUNTIF('Lista de Chequeo Técnico'!$C$8:$C$26,A5)</f>
        <v>10</v>
      </c>
      <c r="C5" s="10">
        <f>B5/$B$9</f>
        <v>0.66666666666666663</v>
      </c>
    </row>
    <row r="6" spans="1:3" x14ac:dyDescent="0.25">
      <c r="A6" s="9" t="s">
        <v>43</v>
      </c>
      <c r="B6" s="7">
        <f>COUNTIF('Lista de Chequeo Técnico'!$C$8:$C$26,A6)</f>
        <v>2</v>
      </c>
      <c r="C6" s="10">
        <f>B6/$B$9</f>
        <v>0.13333333333333333</v>
      </c>
    </row>
    <row r="7" spans="1:3" x14ac:dyDescent="0.25">
      <c r="A7" s="9" t="s">
        <v>44</v>
      </c>
      <c r="B7" s="7">
        <f>COUNTIF('Lista de Chequeo Técnico'!$C$8:$C$26,A7)</f>
        <v>3</v>
      </c>
      <c r="C7" s="10">
        <f>B7/$B$9</f>
        <v>0.2</v>
      </c>
    </row>
    <row r="8" spans="1:3" x14ac:dyDescent="0.25">
      <c r="A8" s="9" t="s">
        <v>45</v>
      </c>
      <c r="B8" s="7">
        <f>COUNTIF('Lista de Chequeo Técnico'!$C$8:$C$26,A8)</f>
        <v>0</v>
      </c>
      <c r="C8" s="10">
        <f>B8/$B$9</f>
        <v>0</v>
      </c>
    </row>
    <row r="9" spans="1:3" x14ac:dyDescent="0.25">
      <c r="A9" s="11" t="s">
        <v>46</v>
      </c>
      <c r="B9" s="12">
        <f>SUM(B5:B8)</f>
        <v>15</v>
      </c>
      <c r="C9" s="13">
        <f>SUM(C5:C8)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Chequeo Técnico</vt:lpstr>
      <vt:lpstr>Resumen y Métricas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42_93031079211</cp:lastModifiedBy>
  <dcterms:modified xsi:type="dcterms:W3CDTF">2026-10-16T21:29:02Z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2026-10-16T19:27:58Z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3241733b-b215-4f4d-856e-32c44e2b3943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