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3e941c3c1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Chequeo Técnico" sheetId="1" r:id="Rd32176e2a0534038"/>
    <x:sheet xmlns:r="http://schemas.openxmlformats.org/officeDocument/2006/relationships" name="Resumen y Métricas" sheetId="2" r:id="Rfb78e35bea204500"/>
  </x:sheets>
</x:workbook>
</file>

<file path=xl/sharedStrings.xml><?xml version="1.0" encoding="utf-8"?>
<x:sst xmlns:x="http://schemas.openxmlformats.org/spreadsheetml/2006/main">
  <x:si>
    <x:t xml:space="preserve">LISTA DE CHEQUEO: PLANEACIÓN TÉCNICA DE PROYECTO</x:t>
  </x:si>
  <x:si>
    <x:t xml:space="preserve">Logo</x:t>
  </x:si>
  <x:si>
    <x:t xml:space="preserve">Evaluación de preparación y viabilidad tecnológica para desarrollo de software</x:t>
  </x:si>
  <x:si>
    <x:t xml:space="preserve">Nombre Proyecto:</x:t>
  </x:si>
  <x:si>
    <x:t xml:space="preserve">Jadda Sports</x:t>
  </x:si>
  <x:si>
    <x:t xml:space="preserve">Integrantres:</x:t>
  </x:si>
  <x:si>
    <x:t xml:space="preserve">Yeison Fernandez - Duglas Montenegro - Miguel Castro</x:t>
  </x:si>
  <x:si>
    <x:t xml:space="preserve">Categoría</x:t>
  </x:si>
  <x:si>
    <x:t xml:space="preserve">Ítem de Verificación / Criterio</x:t>
  </x:si>
  <x:si>
    <x:t xml:space="preserve">Estado</x:t>
  </x:si>
  <x:si>
    <x:t xml:space="preserve">Responsable(s)</x:t>
  </x:si>
  <x:si>
    <x:t xml:space="preserve">Evidencia 
(captura de pantalla o enlace)</x:t>
  </x:si>
  <x:si>
    <x:t xml:space="preserve">Observaciones</x:t>
  </x:si>
  <x:si>
    <x:t xml:space="preserve">1. Arquitectura y Diseño</x:t>
  </x:si>
  <x:si>
    <x:t xml:space="preserve">Arquitectura y Diseño</x:t>
  </x:si>
  <x:si>
    <x:t xml:space="preserve">Se documentó el diagrama de arquitectura y la interacción entre componentes principales.</x:t>
  </x:si>
  <x:si>
    <x:t xml:space="preserve">Se identificaron y priorizaron los atributos de calidad (mantenibilidad, rendimiento, seguridad).</x:t>
  </x:si>
  <x:si>
    <x:t xml:space="preserve">Se establecieron las guías para aplicar patrones de diseño y principios de código limpio (SOLID, DRY, KISS).</x:t>
  </x:si>
  <x:si>
    <x:t xml:space="preserve">2. Stack Tecnológico y Datos</x:t>
  </x:si>
  <x:si>
    <x:t xml:space="preserve">Stack Tecnológico y Datos</x:t>
  </x:si>
  <x:si>
    <x:t xml:space="preserve">Se fijaron las versiones estables de lenguajes, frameworks y herramientas base.</x:t>
  </x:si>
  <x:si>
    <x:t xml:space="preserve">Se diseñó el modelo de datos preliminar (esquemas, relaciones o colecciones).</x:t>
  </x:si>
  <x:si>
    <x:t xml:space="preserve">Se analizaron las dependencias externas, servicios de terceros y restricciones de licencias.</x:t>
  </x:si>
  <x:si>
    <x:t xml:space="preserve">3. Calidad y Pruebas</x:t>
  </x:si>
  <x:si>
    <x:t xml:space="preserve">Calidad y Pruebas</x:t>
  </x:si>
  <x:si>
    <x:t xml:space="preserve">Se definió el marco de pruebas unitarias y de integración (ej. unittest, PyTest, JUnit).</x:t>
  </x:si>
  <x:si>
    <x:t xml:space="preserve">Se configuraron las herramientas de análisis estático de código y linters.</x:t>
  </x:si>
  <x:si>
    <x:t xml:space="preserve">Se acordó la estrategia de pruebas (cobertura mínima esperada, automatización).</x:t>
  </x:si>
  <x:si>
    <x:t xml:space="preserve">4. Entornos y DevOps</x:t>
  </x:si>
  <x:si>
    <x:t xml:space="preserve">Entornos y DevOps</x:t>
  </x:si>
  <x:si>
    <x:t xml:space="preserve">Se estableció la estrategia de control de versiones y ramificación en Git (Git Flow, Trunk-Based).</x:t>
  </x:si>
  <x:si>
    <x:t xml:space="preserve">Se definieron los requerimientos para los entornos de desarrollo, pruebas y producción.</x:t>
  </x:si>
  <x:si>
    <x:t xml:space="preserve">Se planificó el pipeline básico de Integración Continua (CI).</x:t>
  </x:si>
  <x:si>
    <x:t xml:space="preserve">5. Seguridad y Gestión de Riesgos</x:t>
  </x:si>
  <x:si>
    <x:t xml:space="preserve">Seguridad y Gestión de Riesgos</x:t>
  </x:si>
  <x:si>
    <x:t xml:space="preserve">Se definieron los mecanismos de autenticación, autorización y manejo de secretos.</x:t>
  </x:si>
  <x:si>
    <x:t xml:space="preserve">Se identificaron los principales cuellos de botella tecnológicos y riesgos de integración.</x:t>
  </x:si>
  <x:si>
    <x:t xml:space="preserve">Se redactó el plan de contingencia para fallas críticas en los componentes centrales.</x:t>
  </x:si>
  <x:si>
    <x:t xml:space="preserve">RESUMEN DE AVANCE DE PLANEACIÓN TÉCNICA</x:t>
  </x:si>
  <x:si>
    <x:t xml:space="preserve">Métricas de cumplimiento de los ítems de verificación</x:t>
  </x:si>
  <x:si>
    <x:t xml:space="preserve">Cantidad de Ítems</x:t>
  </x:si>
  <x:si>
    <x:t xml:space="preserve">Porcentaje</x:t>
  </x:si>
  <x:si>
    <x:t xml:space="preserve">Completado</x:t>
  </x:si>
  <x:si>
    <x:t xml:space="preserve">En Proceso</x:t>
  </x:si>
  <x:si>
    <x:t xml:space="preserve">Pendiente</x:t>
  </x:si>
  <x:si>
    <x:t xml:space="preserve">No Aplica</x:t>
  </x:si>
  <x:si>
    <x:t xml:space="preserve">Total Ítems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</x:si>
</x:sst>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7">
    <x:font>
      <x:sz val="11"/>
      <x:color theme="1"/>
      <x:name val="Calibri"/>
      <x:family val="2"/>
      <x:scheme val="minor"/>
    </x:font>
    <x:font>
      <x:b/>
      <x:sz val="16"/>
      <x:color rgb="FF2C3E50"/>
      <x:name val="Calibri"/>
      <x:family val="2"/>
    </x:font>
    <x:font>
      <x:i/>
      <x:sz val="11"/>
      <x:color rgb="FF7F8C8D"/>
      <x:name val="Calibri"/>
      <x:family val="2"/>
    </x:font>
    <x:font>
      <x:b/>
      <x:sz val="11"/>
      <x:color rgb="FFFFFFFF"/>
      <x:name val="Calibri"/>
      <x:family val="2"/>
    </x:font>
    <x:font>
      <x:b/>
      <x:sz val="11"/>
      <x:color rgb="FF2C3E50"/>
      <x:name val="Calibri"/>
      <x:family val="2"/>
    </x:font>
    <x:font>
      <x:sz val="10"/>
      <x:name val="Calibri"/>
      <x:family val="2"/>
    </x:font>
    <x:font>
      <x:b/>
      <x:sz val="1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AECEE"/>
      </x:patternFill>
    </x:fill>
  </x:fills>
  <x:borders count="2">
    <x:border>
      <x:left/>
      <x:right/>
      <x:top/>
      <x:bottom/>
      <x:diagonal/>
    </x:border>
    <x:border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0" xfId="0" applyFont="1" applyFill="1" applyAlignment="1">
      <x:alignment horizontal="center" vertical="center" wrapText="1"/>
    </x:xf>
    <x:xf numFmtId="0" fontId="4" fillId="3" borderId="1" xfId="0" applyFont="1" applyFill="1" applyBorder="1" applyAlignment="1">
      <x:alignment horizontal="left" vertical="center"/>
    </x:xf>
    <x:xf numFmtId="0" fontId="5" fillId="0" borderId="1" xfId="0" applyFont="1" applyBorder="1" applyAlignment="1">
      <x:alignment horizontal="left" vertical="center"/>
    </x:xf>
    <x:xf numFmtId="0" fontId="5" fillId="0" borderId="1" xfId="0" applyFont="1" applyBorder="1" applyAlignment="1">
      <x:alignment horizontal="left" vertical="center" wrapText="1"/>
    </x:xf>
    <x:xf numFmtId="0" fontId="5" fillId="0" borderId="1" xfId="0" applyFont="1" applyBorder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5" fillId="0" borderId="1" xfId="0" applyFont="1" applyBorder="1"/>
    <x:xf numFmtId="164" fontId="5" fillId="0" borderId="1" xfId="0" applyNumberFormat="1" applyFont="1" applyBorder="1" applyAlignment="1">
      <x:alignment horizontal="center" vertical="center"/>
    </x:xf>
    <x:xf numFmtId="0" fontId="6" fillId="3" borderId="1" xfId="0" applyFont="1" applyFill="1" applyBorder="1"/>
    <x:xf numFmtId="0" fontId="6" fillId="3" borderId="1" xfId="0" applyFont="1" applyFill="1" applyBorder="1" applyAlignment="1">
      <x:alignment horizontal="center" vertical="center"/>
    </x:xf>
    <x:xf numFmtId="164" fontId="6" fillId="3" borderId="1" xfId="0" applyNumberFormat="1" applyFont="1" applyFill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0" fillId="0" borderId="1" xfId="0" applyBorder="1"/>
    <x:xf numFmtId="0" fontId="5" fillId="0" borderId="1" xfId="0" applyNumberFormat="1" applyFont="1" applyFill="1" applyBorder="1" applyAlignment="1">
      <x:alignment horizontal="left" vertical="center" wrapText="1"/>
    </x:xf>
    <x:xf numFmtId="164" fontId="5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a2c0af55c4066" /><Relationship Type="http://schemas.openxmlformats.org/officeDocument/2006/relationships/theme" Target="/xl/theme/theme1.xml" Id="R95a899a661c74ffb" /><Relationship Type="http://schemas.openxmlformats.org/officeDocument/2006/relationships/sharedStrings" Target="/xl/sharedStrings.xml" Id="R6b52b7e01265431b" /><Relationship Type="http://schemas.openxmlformats.org/officeDocument/2006/relationships/worksheet" Target="/xl/worksheets/sheet1.xml" Id="Rd32176e2a0534038" /><Relationship Type="http://schemas.openxmlformats.org/officeDocument/2006/relationships/worksheet" Target="/xl/worksheets/sheet2.xml" Id="Rfb78e35bea2045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781646ec014e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Porcentaje de criterios por estado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Porcentaje</c:v>
          </c:tx>
          <c:invertIfNegative val="0"/>
          <c:cat>
            <c:strRef>
              <c:f>'Resumen y Métricas'!$A$5:$A$8</c:f>
              <c:strCache>
                <c:ptCount val="0"/>
              </c:strCache>
            </c:strRef>
          </c:cat>
          <c:val>
            <c:numRef>
              <c:f>'Resumen y Métricas'!$C$5:$C$8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781646ec014e7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8819d69bbbb4990" /></Relationships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24" customWidth="1"/>
    <x:col min="2" max="2" width="50" customWidth="1"/>
    <x:col min="3" max="3" width="16" customWidth="1"/>
    <x:col min="4" max="4" width="20" customWidth="1"/>
    <x:col min="5" max="5" width="35" customWidth="1"/>
    <x:col min="6" max="6" width="23.85546875" customWidth="1"/>
  </x:cols>
  <x:sheetData>
    <x:row r="1" ht="21">
      <x:c r="A1" s="1" t="s">
        <x:v>0</x:v>
      </x:c>
      <x:c r="E1" s="14"/>
      <x:c r="F1" s="15" t="s">
        <x:v>1</x:v>
      </x:c>
    </x:row>
    <x:row r="2">
      <x:c r="A2" s="2" t="s">
        <x:v>2</x:v>
      </x:c>
      <x:c r="E2" s="14"/>
      <x:c r="F2" s="15"/>
    </x:row>
    <x:row r="3">
      <x:c r="A3" s="2" t="s">
        <x:v>3</x:v>
      </x:c>
      <x:c r="B3" t="s">
        <x:v>4</x:v>
      </x:c>
      <x:c r="E3" s="14"/>
      <x:c r="F3" s="15"/>
    </x:row>
    <x:row r="4">
      <x:c r="A4" s="2" t="s">
        <x:v>5</x:v>
      </x:c>
      <x:c r="B4" t="s">
        <x:v>6</x:v>
      </x:c>
      <x:c r="E4" s="14"/>
      <x:c r="F4" s="15"/>
    </x:row>
    <x:row r="5">
      <x:c r="E5" s="14"/>
      <x:c r="F5" s="15"/>
    </x:row>
    <x:row r="6" ht="30">
      <x:c r="A6" s="3" t="s">
        <x:v>7</x:v>
      </x:c>
      <x:c r="B6" s="3" t="s">
        <x:v>8</x:v>
      </x:c>
      <x:c r="C6" s="3" t="s">
        <x:v>9</x:v>
      </x:c>
      <x:c r="D6" s="3" t="s">
        <x:v>10</x:v>
      </x:c>
      <x:c r="E6" s="3" t="s">
        <x:v>11</x:v>
      </x:c>
      <x:c r="F6" s="3" t="s">
        <x:v>12</x:v>
      </x:c>
    </x:row>
    <x:row r="7">
      <x:c r="A7" s="16" t="s">
        <x:v>13</x:v>
      </x:c>
      <x:c r="B7" s="17"/>
      <x:c r="C7" s="17"/>
      <x:c r="D7" s="17"/>
      <x:c r="E7" s="17"/>
      <x:c r="F7" s="4"/>
    </x:row>
    <x:row r="8" ht="45" customHeight="1">
      <x:c r="A8" s="5" t="s">
        <x:v>14</x:v>
      </x:c>
      <x:c r="B8" s="6" t="s">
        <x:v>15</x:v>
      </x:c>
      <x:c r="C8" s="7" t="str">
        <x:v>Completado</x:v>
      </x:c>
      <x:c r="D8" s="18" t="str">
        <x:v>Equipo de desarrollo JADDA</x:v>
      </x:c>
      <x:c r="E8" s="18" t="str">
        <x:v>docs/diagrams/arquitectura.md; README.md; docker-compose.yml</x:v>
      </x:c>
      <x:c r="F8" s="18" t="str">
        <x:v>Arquitectura web, API, móvil, MySQL y contenedores documentada.</x:v>
      </x:c>
    </x:row>
    <x:row r="9" ht="45" customHeight="1">
      <x:c r="A9" s="5" t="s">
        <x:v>14</x:v>
      </x:c>
      <x:c r="B9" s="6" t="s">
        <x:v>16</x:v>
      </x:c>
      <x:c r="C9" s="7" t="str">
        <x:v>Completado</x:v>
      </x:c>
      <x:c r="D9" s="18" t="str">
        <x:v>Equipo de desarrollo JADDA</x:v>
      </x:c>
      <x:c r="E9" s="18" t="str">
        <x:v>docs/calidad/evaluacion-iso-25010.md; docs/calidad/informe-evaluacion-rnf.md</x:v>
      </x:c>
      <x:c r="F9" s="18" t="str">
        <x:v>Atributos priorizados y evaluados con evidencia y verificaciones; se registran brechas de capacidad y recursos.</x:v>
      </x:c>
    </x:row>
    <x:row r="10" ht="45" customHeight="1">
      <x:c r="A10" s="5" t="s">
        <x:v>14</x:v>
      </x:c>
      <x:c r="B10" s="6" t="s">
        <x:v>17</x:v>
      </x:c>
      <x:c r="C10" s="7" t="str">
        <x:v>Pendiente</x:v>
      </x:c>
      <x:c r="D10" s="18" t="str">
        <x:v>Equipo de desarrollo JADDA</x:v>
      </x:c>
      <x:c r="E10" s="18" t="str">
        <x:v>backend/controllers/; backend/routes/; docs/Restricciones del Proyecto.md</x:v>
      </x:c>
      <x:c r="F10" s="18" t="str">
        <x:v>Hay separación modular en el código, pero no se encontró una guía explícita de aplicación de SOLID, DRY y KISS.</x:v>
      </x:c>
    </x:row>
    <x:row r="11">
      <x:c r="A11" s="16" t="s">
        <x:v>18</x:v>
      </x:c>
      <x:c r="B11" s="17"/>
      <x:c r="C11" s="17"/>
      <x:c r="D11" s="17"/>
      <x:c r="E11" s="17"/>
      <x:c r="F11" s="4"/>
    </x:row>
    <x:row r="12" ht="45" customHeight="1">
      <x:c r="A12" s="5" t="s">
        <x:v>19</x:v>
      </x:c>
      <x:c r="B12" s="6" t="s">
        <x:v>20</x:v>
      </x:c>
      <x:c r="C12" s="7" t="str">
        <x:v>Completado</x:v>
      </x:c>
      <x:c r="D12" s="18" t="str">
        <x:v>Equipo de desarrollo JADDA</x:v>
      </x:c>
      <x:c r="E12" s="18" t="str">
        <x:v>docs/plan de trabajo.md; README.md; backend/package.json; frontend/package.json; movil/package.json</x:v>
      </x:c>
      <x:c r="F12" s="18" t="str">
        <x:v>Stack y versiones fijados para web, backend, móvil, base de datos y contenedores.</x:v>
      </x:c>
    </x:row>
    <x:row r="13" ht="45" customHeight="1">
      <x:c r="A13" s="5" t="s">
        <x:v>19</x:v>
      </x:c>
      <x:c r="B13" s="6" t="s">
        <x:v>21</x:v>
      </x:c>
      <x:c r="C13" s="7" t="str">
        <x:v>Completado</x:v>
      </x:c>
      <x:c r="D13" s="18" t="str">
        <x:v>Equipo de desarrollo JADDA</x:v>
      </x:c>
      <x:c r="E13" s="18" t="str">
        <x:v>docs/diagrams/base-de-datos.md; backend/database/schema.sql; backend/database/setup.js</x:v>
      </x:c>
      <x:c r="F13" s="18" t="str">
        <x:v>Modelo relacional documentado; esquema versionado y auto-configurado al iniciar.</x:v>
      </x:c>
    </x:row>
    <x:row r="14" ht="45" customHeight="1">
      <x:c r="A14" s="5" t="s">
        <x:v>19</x:v>
      </x:c>
      <x:c r="B14" s="6" t="s">
        <x:v>22</x:v>
      </x:c>
      <x:c r="C14" s="7" t="str">
        <x:v>En Proceso</x:v>
      </x:c>
      <x:c r="D14" s="18" t="str">
        <x:v>Equipo de desarrollo JADDA</x:v>
      </x:c>
      <x:c r="E14" s="18" t="str">
        <x:v>backend/package.json; frontend/package.json; movil/package.json; docs/Restricciones del Proyecto.md</x:v>
      </x:c>
      <x:c r="F14" s="18" t="str">
        <x:v>Dependencias y servicios externos están identificados; no se encontró una matriz de revisión de licencias.</x:v>
      </x:c>
    </x:row>
    <x:row r="15">
      <x:c r="A15" s="16" t="s">
        <x:v>23</x:v>
      </x:c>
      <x:c r="B15" s="17"/>
      <x:c r="C15" s="17"/>
      <x:c r="D15" s="17"/>
      <x:c r="E15" s="17"/>
      <x:c r="F15" s="4"/>
    </x:row>
    <x:row r="16" ht="45" customHeight="1">
      <x:c r="A16" s="5" t="s">
        <x:v>24</x:v>
      </x:c>
      <x:c r="B16" s="6" t="s">
        <x:v>25</x:v>
      </x:c>
      <x:c r="C16" s="7" t="str">
        <x:v>En Proceso</x:v>
      </x:c>
      <x:c r="D16" s="18" t="str">
        <x:v>Equipo de desarrollo JADDA</x:v>
      </x:c>
      <x:c r="E16" s="18" t="str">
        <x:v>tests/smoke.mjs; docs/aceptacion/pruebas-aceptacion.md; package.json</x:v>
      </x:c>
      <x:c r="F16" s="18" t="str">
        <x:v>Hay pruebas E2E/API y aceptación formal; no se encontró una suite unitaria configurada.</x:v>
      </x:c>
    </x:row>
    <x:row r="17" ht="45" customHeight="1">
      <x:c r="A17" s="5" t="s">
        <x:v>24</x:v>
      </x:c>
      <x:c r="B17" s="6" t="s">
        <x:v>26</x:v>
      </x:c>
      <x:c r="C17" s="7" t="str">
        <x:v>Completado</x:v>
      </x:c>
      <x:c r="D17" s="18" t="str">
        <x:v>Equipo de desarrollo JADDA</x:v>
      </x:c>
      <x:c r="E17" s="18" t="str">
        <x:v>frontend/package.json; frontend/tsconfig.json; docs/RNFs/RNF-008.md</x:v>
      </x:c>
      <x:c r="F17" s="18" t="str">
        <x:v>ESLint y compilación TypeScript/Vite forman parte de las herramientas de verificación.</x:v>
      </x:c>
    </x:row>
    <x:row r="18" ht="45" customHeight="1">
      <x:c r="A18" s="5" t="s">
        <x:v>24</x:v>
      </x:c>
      <x:c r="B18" s="6" t="s">
        <x:v>27</x:v>
      </x:c>
      <x:c r="C18" s="7" t="str">
        <x:v>En Proceso</x:v>
      </x:c>
      <x:c r="D18" s="18" t="str">
        <x:v>Equipo de desarrollo JADDA</x:v>
      </x:c>
      <x:c r="E18" s="18" t="str">
        <x:v>tests/smoke.mjs; docs/aceptacion/pruebas-aceptacion.md; docs/calidad/plan-mejora-continua.md</x:v>
      </x:c>
      <x:c r="F18" s="18" t="str">
        <x:v>La suite smoke y TP-001..035 están definidos; falta establecer y medir una meta de cobertura automatizada.</x:v>
      </x:c>
    </x:row>
    <x:row r="19">
      <x:c r="A19" s="16" t="s">
        <x:v>28</x:v>
      </x:c>
      <x:c r="B19" s="17"/>
      <x:c r="C19" s="17"/>
      <x:c r="D19" s="17"/>
      <x:c r="E19" s="17"/>
      <x:c r="F19" s="4"/>
    </x:row>
    <x:row r="20" ht="45" customHeight="1">
      <x:c r="A20" s="5" t="s">
        <x:v>29</x:v>
      </x:c>
      <x:c r="B20" s="6" t="s">
        <x:v>30</x:v>
      </x:c>
      <x:c r="C20" s="7" t="str">
        <x:v>En Proceso</x:v>
      </x:c>
      <x:c r="D20" s="18" t="str">
        <x:v>Equipo de desarrollo JADDA</x:v>
      </x:c>
      <x:c r="E20" s="18" t="str">
        <x:v>.gitignore; docs/Restricciones del Proyecto.md</x:v>
      </x:c>
      <x:c r="F20" s="18" t="str">
        <x:v>Git y reglas de protección del repositorio están en uso; no se documentó una estrategia de ramificación.</x:v>
      </x:c>
    </x:row>
    <x:row r="21" ht="45" customHeight="1">
      <x:c r="A21" s="5" t="s">
        <x:v>29</x:v>
      </x:c>
      <x:c r="B21" s="6" t="s">
        <x:v>31</x:v>
      </x:c>
      <x:c r="C21" s="7" t="str">
        <x:v>Completado</x:v>
      </x:c>
      <x:c r="D21" s="18" t="str">
        <x:v>Equipo de desarrollo JADDA</x:v>
      </x:c>
      <x:c r="E21" s="18" t="str">
        <x:v>docker-compose.yml; docs/implantacion/03-guia-despliegue.md; docs/Restricciones del Proyecto.md</x:v>
      </x:c>
      <x:c r="F21" s="18" t="str">
        <x:v>Desarrollo y entrega local en preview están documentados; producción formal está fuera del despliegue soportado.</x:v>
      </x:c>
    </x:row>
    <x:row r="22" ht="45" customHeight="1">
      <x:c r="A22" s="5" t="s">
        <x:v>29</x:v>
      </x:c>
      <x:c r="B22" s="6" t="s">
        <x:v>32</x:v>
      </x:c>
      <x:c r="C22" s="7" t="str">
        <x:v>En Proceso</x:v>
      </x:c>
      <x:c r="D22" s="18" t="str">
        <x:v>Equipo de desarrollo JADDA</x:v>
      </x:c>
      <x:c r="E22" s="18" t="str">
        <x:v>docs/calidad/marco-calidad.md; docs/calidad/plan-mejora-continua.md; frontend/package.json</x:v>
      </x:c>
      <x:c r="F22" s="18" t="str">
        <x:v>Existe build gate manual (lint/TypeScript/build); la automatización CI está pendiente (MC-06).</x:v>
      </x:c>
    </x:row>
    <x:row r="23">
      <x:c r="A23" s="16" t="s">
        <x:v>33</x:v>
      </x:c>
      <x:c r="B23" s="17"/>
      <x:c r="C23" s="17"/>
      <x:c r="D23" s="17"/>
      <x:c r="E23" s="17"/>
      <x:c r="F23" s="4"/>
    </x:row>
    <x:row r="24" ht="45" customHeight="1">
      <x:c r="A24" s="5" t="s">
        <x:v>34</x:v>
      </x:c>
      <x:c r="B24" s="6" t="s">
        <x:v>35</x:v>
      </x:c>
      <x:c r="C24" s="7" t="str">
        <x:v>Completado</x:v>
      </x:c>
      <x:c r="D24" s="18" t="str">
        <x:v>Equipo de desarrollo JADDA</x:v>
      </x:c>
      <x:c r="E24" s="18" t="str">
        <x:v>backend/server.js; backend/routes/authRoutes.js; backend/middlewares/; backend/.env.example; docs/Restricciones del Proyecto.md</x:v>
      </x:c>
      <x:c r="F24" s="18" t="str">
        <x:v>Autenticación por sesión, autorización por roles, controles de acceso y plantilla de secretos documentados.</x:v>
      </x:c>
    </x:row>
    <x:row r="25" ht="45" customHeight="1">
      <x:c r="A25" s="5" t="s">
        <x:v>34</x:v>
      </x:c>
      <x:c r="B25" s="6" t="s">
        <x:v>36</x:v>
      </x:c>
      <x:c r="C25" s="7" t="str">
        <x:v>Completado</x:v>
      </x:c>
      <x:c r="D25" s="18" t="str">
        <x:v>Equipo de desarrollo JADDA</x:v>
      </x:c>
      <x:c r="E25" s="18" t="str">
        <x:v>docs/calidad/evaluacion-iso-25010.md; docs/calidad/plan-mejora-continua.md</x:v>
      </x:c>
      <x:c r="F25" s="18" t="str">
        <x:v>Riesgos de recursos y concurrencia están identificados y asociados a acciones MC-11 y MC-12.</x:v>
      </x:c>
    </x:row>
    <x:row r="26" ht="45" customHeight="1">
      <x:c r="A26" s="5" t="s">
        <x:v>34</x:v>
      </x:c>
      <x:c r="B26" s="6" t="s">
        <x:v>37</x:v>
      </x:c>
      <x:c r="C26" s="7" t="str">
        <x:v>Completado</x:v>
      </x:c>
      <x:c r="D26" s="18" t="str">
        <x:v>Equipo de desarrollo JADDA</x:v>
      </x:c>
      <x:c r="E26" s="18" t="str">
        <x:v>docs/implantacion/02-plan-migracion-respaldos.md; scripts/backup.ps1; scripts/restaurar-backup.ps1</x:v>
      </x:c>
      <x:c r="F26" s="18" t="str">
        <x:v>Hay procedimiento de respaldo y recuperación; la restauración en base temporal está verificada.</x:v>
      </x:c>
    </x:row>
  </x:sheetData>
  <x:mergeCells>
    <x:mergeCell ref="F1:F5"/>
    <x:mergeCell ref="A23:E23"/>
    <x:mergeCell ref="A7:E7"/>
    <x:mergeCell ref="A15:E15"/>
    <x:mergeCell ref="A19:E19"/>
    <x:mergeCell ref="A11:E11"/>
  </x:mergeCells>
  <x:dataValidations count="1">
    <x:dataValidation type="list" allowBlank="1" sqref="C8 C9 C10 C12 C13 C14 C16 C17 C18 C20 C21 C22 C24 C25 C26">
      <x:formula1>"Pendiente, En Proceso, Completado, No Aplica"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22" customWidth="1"/>
    <x:col min="2" max="2" width="20" customWidth="1"/>
    <x:col min="3" max="3" width="18" customWidth="1"/>
  </x:cols>
  <x:sheetData>
    <x:row r="1" ht="21">
      <x:c r="A1" s="1" t="s">
        <x:v>38</x:v>
      </x:c>
    </x:row>
    <x:row r="2">
      <x:c r="A2" s="2" t="s">
        <x:v>39</x:v>
      </x:c>
    </x:row>
    <x:row r="4">
      <x:c r="A4" s="8" t="s">
        <x:v>9</x:v>
      </x:c>
      <x:c r="B4" s="8" t="s">
        <x:v>40</x:v>
      </x:c>
      <x:c r="C4" s="8" t="s">
        <x:v>41</x:v>
      </x:c>
    </x:row>
    <x:row r="5">
      <x:c r="A5" s="9" t="s">
        <x:v>42</x:v>
      </x:c>
      <x:c r="B5" s="7" t="n">
        <x:f>COUNTIF('Lista de Chequeo Técnico'!$C$8:$C$26,A5)</x:f>
        <x:v>9</x:v>
      </x:c>
      <x:c r="C5" s="19" t="n">
        <x:f>B5/$B$9</x:f>
        <x:v>0.6</x:v>
      </x:c>
    </x:row>
    <x:row r="6">
      <x:c r="A6" s="9" t="s">
        <x:v>43</x:v>
      </x:c>
      <x:c r="B6" s="7" t="n">
        <x:f>COUNTIF('Lista de Chequeo Técnico'!$C$8:$C$26,A6)</x:f>
        <x:v>5</x:v>
      </x:c>
      <x:c r="C6" s="19" t="n">
        <x:f>B6/$B$9</x:f>
        <x:v>0.3333333333333333</x:v>
      </x:c>
    </x:row>
    <x:row r="7">
      <x:c r="A7" s="9" t="s">
        <x:v>44</x:v>
      </x:c>
      <x:c r="B7" s="7" t="n">
        <x:f>COUNTIF('Lista de Chequeo Técnico'!$C$8:$C$26,A7)</x:f>
        <x:v>1</x:v>
      </x:c>
      <x:c r="C7" s="19" t="n">
        <x:f>B7/$B$9</x:f>
        <x:v>0.06666666666666667</x:v>
      </x:c>
    </x:row>
    <x:row r="8">
      <x:c r="A8" s="9" t="s">
        <x:v>45</x:v>
      </x:c>
      <x:c r="B8" s="7" t="n">
        <x:f>COUNTIF('Lista de Chequeo Técnico'!$C$8:$C$26,A8)</x:f>
        <x:v>0</x:v>
      </x:c>
      <x:c r="C8" s="19" t="n">
        <x:f>B8/$B$9</x:f>
        <x:v>0</x:v>
      </x:c>
    </x:row>
    <x:row r="9">
      <x:c r="A9" s="11" t="s">
        <x:v>46</x:v>
      </x:c>
      <x:c r="B9" s="12" t="n">
        <x:f>SUM(B5:B8)</x:f>
        <x:v>15</x:v>
      </x:c>
      <x:c r="C9" s="13" t="n">
        <x:f>SUM(C5:C8)</x:f>
        <x:v>1</x:v>
      </x:c>
    </x:row>
  </x:sheetData>
  <x:pageMargins left="0.7" right="0.7" top="0.75" bottom="0.75" header="0.3" footer="0.3"/>
  <x:drawing xmlns:r="http://schemas.openxmlformats.org/officeDocument/2006/relationships" r:id="R68819d69bbbb4990"/>
</x:worksheet>
</file>